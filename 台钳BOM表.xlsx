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Y\01_Taiqian\BOM\"/>
    </mc:Choice>
  </mc:AlternateContent>
  <xr:revisionPtr revIDLastSave="0" documentId="13_ncr:1_{03F1FE5C-83C3-4249-8819-FAF42FEFE4D0}" xr6:coauthVersionLast="47" xr6:coauthVersionMax="47" xr10:uidLastSave="{00000000-0000-0000-0000-000000000000}"/>
  <bookViews>
    <workbookView xWindow="-120" yWindow="-120" windowWidth="29040" windowHeight="15840" xr2:uid="{069AA713-15D0-461F-B5E5-ED88B4BB61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7" i="1"/>
  <c r="H11" i="1"/>
  <c r="H12" i="1"/>
  <c r="H13" i="1"/>
  <c r="H14" i="1"/>
  <c r="H15" i="1"/>
  <c r="H6" i="1"/>
  <c r="H8" i="1"/>
  <c r="H9" i="1"/>
</calcChain>
</file>

<file path=xl/sharedStrings.xml><?xml version="1.0" encoding="utf-8"?>
<sst xmlns="http://schemas.openxmlformats.org/spreadsheetml/2006/main" count="73" uniqueCount="55">
  <si>
    <t>序号</t>
    <phoneticPr fontId="1" type="noConversion"/>
  </si>
  <si>
    <t>名称</t>
    <phoneticPr fontId="1" type="noConversion"/>
  </si>
  <si>
    <t>数量</t>
  </si>
  <si>
    <t>尺寸</t>
    <phoneticPr fontId="1" type="noConversion"/>
  </si>
  <si>
    <t>单价</t>
    <phoneticPr fontId="1" type="noConversion"/>
  </si>
  <si>
    <t>总价</t>
    <phoneticPr fontId="1" type="noConversion"/>
  </si>
  <si>
    <t>链接</t>
    <phoneticPr fontId="1" type="noConversion"/>
  </si>
  <si>
    <t>固定端</t>
    <phoneticPr fontId="1" type="noConversion"/>
  </si>
  <si>
    <t>CNC</t>
    <phoneticPr fontId="1" type="noConversion"/>
  </si>
  <si>
    <t>中间支撑</t>
    <phoneticPr fontId="1" type="noConversion"/>
  </si>
  <si>
    <t>支撑端</t>
    <phoneticPr fontId="1" type="noConversion"/>
  </si>
  <si>
    <t>类型</t>
    <phoneticPr fontId="1" type="noConversion"/>
  </si>
  <si>
    <t>75*53*8</t>
    <phoneticPr fontId="1" type="noConversion"/>
  </si>
  <si>
    <t>75*50*8</t>
    <phoneticPr fontId="1" type="noConversion"/>
  </si>
  <si>
    <t>BOM表-CNC台钳</t>
    <phoneticPr fontId="1" type="noConversion"/>
  </si>
  <si>
    <t>标准件</t>
    <phoneticPr fontId="1" type="noConversion"/>
  </si>
  <si>
    <t>丝杆</t>
    <phoneticPr fontId="1" type="noConversion"/>
  </si>
  <si>
    <t>T8-2mm-250mm</t>
    <phoneticPr fontId="1" type="noConversion"/>
  </si>
  <si>
    <t>卧式轴承座</t>
    <phoneticPr fontId="1" type="noConversion"/>
  </si>
  <si>
    <t>切边消隙螺母</t>
    <phoneticPr fontId="1" type="noConversion"/>
  </si>
  <si>
    <t>光轴</t>
    <phoneticPr fontId="1" type="noConversion"/>
  </si>
  <si>
    <t>铝型材</t>
    <phoneticPr fontId="1" type="noConversion"/>
  </si>
  <si>
    <t>欧标1020-两头M5</t>
    <phoneticPr fontId="1" type="noConversion"/>
  </si>
  <si>
    <t>邮费</t>
    <phoneticPr fontId="1" type="noConversion"/>
  </si>
  <si>
    <t>KFL08-8mm</t>
    <phoneticPr fontId="1" type="noConversion"/>
  </si>
  <si>
    <t>直线轴承</t>
    <phoneticPr fontId="1" type="noConversion"/>
  </si>
  <si>
    <t>LM6UU-6*12</t>
    <phoneticPr fontId="1" type="noConversion"/>
  </si>
  <si>
    <t>12mm轴用</t>
    <phoneticPr fontId="1" type="noConversion"/>
  </si>
  <si>
    <t>12*16*2mm</t>
    <phoneticPr fontId="1" type="noConversion"/>
  </si>
  <si>
    <t>螺栓</t>
    <phoneticPr fontId="1" type="noConversion"/>
  </si>
  <si>
    <t>T8-导程8-螺距2-安装孔距17.5mm</t>
    <phoneticPr fontId="1" type="noConversion"/>
  </si>
  <si>
    <t>铝合金滚花手轮</t>
    <phoneticPr fontId="1" type="noConversion"/>
  </si>
  <si>
    <t>外径30-内径8</t>
    <phoneticPr fontId="1" type="noConversion"/>
  </si>
  <si>
    <t>内径8-外径14-厚度8</t>
    <phoneticPr fontId="1" type="noConversion"/>
  </si>
  <si>
    <t>轴向限位卡SCCAW</t>
    <phoneticPr fontId="1" type="noConversion"/>
  </si>
  <si>
    <t>轴用卡簧（单件10只）</t>
    <phoneticPr fontId="1" type="noConversion"/>
  </si>
  <si>
    <t>尼龙垫片(单件50个)</t>
    <phoneticPr fontId="1" type="noConversion"/>
  </si>
  <si>
    <t>淘宝-同拓展志</t>
    <phoneticPr fontId="1" type="noConversion"/>
  </si>
  <si>
    <t>D6-L200-两头M5*10</t>
    <phoneticPr fontId="1" type="noConversion"/>
  </si>
  <si>
    <t>M3*8(10个)</t>
    <phoneticPr fontId="1" type="noConversion"/>
  </si>
  <si>
    <t>M5*14(1个)</t>
    <phoneticPr fontId="1" type="noConversion"/>
  </si>
  <si>
    <t>M4*14(10个)</t>
    <phoneticPr fontId="1" type="noConversion"/>
  </si>
  <si>
    <t>淘宝-天卓五金</t>
    <phoneticPr fontId="1" type="noConversion"/>
  </si>
  <si>
    <t>铨州制造</t>
    <phoneticPr fontId="1" type="noConversion"/>
  </si>
  <si>
    <t>淘宝-丽水亿维特轴承</t>
    <phoneticPr fontId="1" type="noConversion"/>
  </si>
  <si>
    <t>淘宝-铭泰三维官方店</t>
    <phoneticPr fontId="1" type="noConversion"/>
  </si>
  <si>
    <t>淘宝-晟和自动化五金</t>
    <phoneticPr fontId="1" type="noConversion"/>
  </si>
  <si>
    <t>淘宝-中国电机水泵配件</t>
    <phoneticPr fontId="1" type="noConversion"/>
  </si>
  <si>
    <t>天猫-郎思明旗舰店</t>
    <phoneticPr fontId="1" type="noConversion"/>
  </si>
  <si>
    <t>隆拓工厂</t>
    <phoneticPr fontId="1" type="noConversion"/>
  </si>
  <si>
    <t>淘宝-东莞嘉恒五金</t>
    <phoneticPr fontId="1" type="noConversion"/>
  </si>
  <si>
    <t>合计</t>
    <phoneticPr fontId="1" type="noConversion"/>
  </si>
  <si>
    <t>盖形螺母</t>
    <phoneticPr fontId="1" type="noConversion"/>
  </si>
  <si>
    <t>M5(10个)</t>
    <phoneticPr fontId="1" type="noConversion"/>
  </si>
  <si>
    <t>天猫-固万基官方旗舰店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</si>
</sst>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_);[Red]\(&quot;¥&quot;#,##0.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0"/>
      <color theme="1"/>
      <name val="黑体"/>
      <family val="3"/>
      <charset val="134"/>
    </font>
    <font>
      <b/>
      <sz val="16"/>
      <color theme="4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4370-CBF9-4740-8089-FC5D8CEAC4B5}">
  <dimension ref="A1:J20"/>
  <sheetViews>
    <sheetView tabSelected="1" workbookViewId="0">
      <selection activeCell="B25" sqref="B25"/>
    </sheetView>
  </sheetViews>
  <sheetFormatPr defaultRowHeight="14.25" x14ac:dyDescent="0.2"/>
  <cols>
    <col min="1" max="2" width="9" style="1"/>
    <col min="3" max="3" width="25.875" style="1" customWidth="1"/>
    <col min="4" max="4" width="19.25" style="1" customWidth="1"/>
    <col min="5" max="5" width="18.625" style="1" customWidth="1"/>
    <col min="6" max="7" width="13.75" style="2" customWidth="1"/>
    <col min="8" max="8" width="16.75" style="2" customWidth="1"/>
    <col min="9" max="9" width="31" style="1" customWidth="1"/>
  </cols>
  <sheetData>
    <row r="1" spans="1:10" ht="25.5" x14ac:dyDescent="0.2">
      <c r="A1" s="5" t="s">
        <v>14</v>
      </c>
      <c r="B1" s="5"/>
      <c r="C1" s="5"/>
      <c r="D1" s="5"/>
      <c r="E1" s="5"/>
      <c r="F1" s="5"/>
      <c r="G1" s="5"/>
      <c r="H1" s="5"/>
      <c r="I1" s="5"/>
    </row>
    <row r="2" spans="1:10" x14ac:dyDescent="0.2">
      <c r="A2" s="1" t="s">
        <v>0</v>
      </c>
      <c r="B2" s="1" t="s">
        <v>11</v>
      </c>
      <c r="C2" s="1" t="s">
        <v>1</v>
      </c>
      <c r="D2" s="1" t="s">
        <v>3</v>
      </c>
      <c r="E2" s="1" t="s">
        <v>2</v>
      </c>
      <c r="F2" s="2" t="s">
        <v>4</v>
      </c>
      <c r="G2" s="2" t="s">
        <v>23</v>
      </c>
      <c r="H2" s="2" t="s">
        <v>5</v>
      </c>
      <c r="I2" s="1" t="s">
        <v>6</v>
      </c>
      <c r="J2" s="2"/>
    </row>
    <row r="3" spans="1:10" x14ac:dyDescent="0.2">
      <c r="A3" s="1">
        <v>1</v>
      </c>
      <c r="B3" s="1" t="s">
        <v>8</v>
      </c>
      <c r="C3" s="1" t="s">
        <v>7</v>
      </c>
      <c r="D3" s="1" t="s">
        <v>12</v>
      </c>
      <c r="E3" s="1">
        <v>1</v>
      </c>
      <c r="F3" s="2">
        <v>6.8</v>
      </c>
      <c r="G3" s="8">
        <v>15</v>
      </c>
      <c r="H3" s="8">
        <v>21.8</v>
      </c>
      <c r="I3" s="6" t="s">
        <v>43</v>
      </c>
    </row>
    <row r="4" spans="1:10" x14ac:dyDescent="0.2">
      <c r="A4" s="1">
        <v>2</v>
      </c>
      <c r="B4" s="1" t="s">
        <v>8</v>
      </c>
      <c r="C4" s="1" t="s">
        <v>9</v>
      </c>
      <c r="D4" s="1" t="s">
        <v>13</v>
      </c>
      <c r="E4" s="1">
        <v>1</v>
      </c>
      <c r="F4" s="2">
        <v>6.8</v>
      </c>
      <c r="G4" s="8"/>
      <c r="H4" s="8"/>
      <c r="I4" s="6"/>
    </row>
    <row r="5" spans="1:10" x14ac:dyDescent="0.2">
      <c r="A5" s="1">
        <v>3</v>
      </c>
      <c r="B5" s="1" t="s">
        <v>8</v>
      </c>
      <c r="C5" s="1" t="s">
        <v>10</v>
      </c>
      <c r="D5" s="1" t="s">
        <v>12</v>
      </c>
      <c r="E5" s="1">
        <v>1</v>
      </c>
      <c r="F5" s="2">
        <v>6.8</v>
      </c>
      <c r="G5" s="8"/>
      <c r="H5" s="8"/>
      <c r="I5" s="6"/>
    </row>
    <row r="6" spans="1:10" x14ac:dyDescent="0.2">
      <c r="A6" s="1">
        <v>4</v>
      </c>
      <c r="B6" s="1" t="s">
        <v>15</v>
      </c>
      <c r="C6" s="1" t="s">
        <v>16</v>
      </c>
      <c r="D6" s="1" t="s">
        <v>17</v>
      </c>
      <c r="E6" s="1">
        <v>1</v>
      </c>
      <c r="F6" s="2">
        <v>4</v>
      </c>
      <c r="G6" s="2">
        <v>3.6</v>
      </c>
      <c r="H6" s="2">
        <f>F6*E6+G6</f>
        <v>7.6</v>
      </c>
      <c r="I6" s="6" t="s">
        <v>37</v>
      </c>
    </row>
    <row r="7" spans="1:10" x14ac:dyDescent="0.2">
      <c r="A7" s="1">
        <v>5</v>
      </c>
      <c r="B7" s="1" t="s">
        <v>15</v>
      </c>
      <c r="C7" s="1" t="s">
        <v>18</v>
      </c>
      <c r="D7" s="1" t="s">
        <v>24</v>
      </c>
      <c r="E7" s="1">
        <v>2</v>
      </c>
      <c r="F7" s="2">
        <v>2.4</v>
      </c>
      <c r="G7" s="2">
        <v>0</v>
      </c>
      <c r="H7" s="2">
        <f t="shared" ref="H7" si="0">F7*E7+G7</f>
        <v>4.8</v>
      </c>
      <c r="I7" s="6"/>
    </row>
    <row r="8" spans="1:10" ht="28.5" x14ac:dyDescent="0.2">
      <c r="A8" s="1">
        <v>6</v>
      </c>
      <c r="B8" s="1" t="s">
        <v>15</v>
      </c>
      <c r="C8" s="1" t="s">
        <v>19</v>
      </c>
      <c r="D8" s="1" t="s">
        <v>30</v>
      </c>
      <c r="E8" s="1">
        <v>1</v>
      </c>
      <c r="F8" s="2">
        <v>4.5</v>
      </c>
      <c r="G8" s="2">
        <v>3.8</v>
      </c>
      <c r="H8" s="2">
        <f t="shared" ref="H8:H9" si="1">F8*E8+G8</f>
        <v>8.3000000000000007</v>
      </c>
      <c r="I8" s="1" t="s">
        <v>45</v>
      </c>
    </row>
    <row r="9" spans="1:10" x14ac:dyDescent="0.2">
      <c r="A9" s="1">
        <v>7</v>
      </c>
      <c r="B9" s="1" t="s">
        <v>15</v>
      </c>
      <c r="C9" s="1" t="s">
        <v>20</v>
      </c>
      <c r="D9" s="1" t="s">
        <v>38</v>
      </c>
      <c r="E9" s="1">
        <v>2</v>
      </c>
      <c r="F9" s="2">
        <v>8.9</v>
      </c>
      <c r="G9" s="2">
        <v>0</v>
      </c>
      <c r="H9" s="2">
        <f t="shared" si="1"/>
        <v>17.8</v>
      </c>
      <c r="I9" s="1" t="s">
        <v>44</v>
      </c>
    </row>
    <row r="10" spans="1:10" x14ac:dyDescent="0.2">
      <c r="A10" s="1">
        <v>8</v>
      </c>
      <c r="B10" s="1" t="s">
        <v>15</v>
      </c>
      <c r="C10" s="1" t="s">
        <v>21</v>
      </c>
      <c r="D10" s="1" t="s">
        <v>22</v>
      </c>
      <c r="E10" s="1">
        <v>2</v>
      </c>
      <c r="F10" s="2">
        <v>1.69</v>
      </c>
      <c r="G10" s="2">
        <v>8</v>
      </c>
      <c r="H10" s="2">
        <v>23</v>
      </c>
    </row>
    <row r="11" spans="1:10" x14ac:dyDescent="0.2">
      <c r="A11" s="1">
        <v>9</v>
      </c>
      <c r="B11" s="1" t="s">
        <v>15</v>
      </c>
      <c r="C11" s="1" t="s">
        <v>25</v>
      </c>
      <c r="D11" s="1" t="s">
        <v>26</v>
      </c>
      <c r="E11" s="1">
        <v>3</v>
      </c>
      <c r="F11" s="2">
        <v>0.71</v>
      </c>
      <c r="G11" s="2">
        <v>0</v>
      </c>
      <c r="H11" s="2">
        <f t="shared" ref="H11:H13" si="2">F11*E11+G11</f>
        <v>2.13</v>
      </c>
      <c r="I11" s="1" t="s">
        <v>46</v>
      </c>
    </row>
    <row r="12" spans="1:10" x14ac:dyDescent="0.2">
      <c r="A12" s="1">
        <v>10</v>
      </c>
      <c r="B12" s="1" t="s">
        <v>15</v>
      </c>
      <c r="C12" s="1" t="s">
        <v>35</v>
      </c>
      <c r="D12" s="1" t="s">
        <v>27</v>
      </c>
      <c r="E12" s="1">
        <v>1</v>
      </c>
      <c r="F12" s="2">
        <v>3.32</v>
      </c>
      <c r="G12" s="2">
        <v>0</v>
      </c>
      <c r="H12" s="2">
        <f t="shared" si="2"/>
        <v>3.32</v>
      </c>
      <c r="I12" s="1" t="s">
        <v>47</v>
      </c>
    </row>
    <row r="13" spans="1:10" x14ac:dyDescent="0.2">
      <c r="A13" s="1">
        <v>11</v>
      </c>
      <c r="B13" s="1" t="s">
        <v>15</v>
      </c>
      <c r="C13" s="1" t="s">
        <v>36</v>
      </c>
      <c r="D13" s="1" t="s">
        <v>28</v>
      </c>
      <c r="E13" s="1">
        <v>1</v>
      </c>
      <c r="F13" s="2">
        <v>3.1</v>
      </c>
      <c r="G13" s="2">
        <v>0</v>
      </c>
      <c r="H13" s="2">
        <f t="shared" si="2"/>
        <v>3.1</v>
      </c>
      <c r="I13" s="1" t="s">
        <v>48</v>
      </c>
    </row>
    <row r="14" spans="1:10" x14ac:dyDescent="0.2">
      <c r="A14" s="1">
        <v>12</v>
      </c>
      <c r="B14" s="1" t="s">
        <v>15</v>
      </c>
      <c r="C14" s="1" t="s">
        <v>31</v>
      </c>
      <c r="D14" s="1" t="s">
        <v>32</v>
      </c>
      <c r="E14" s="1">
        <v>1</v>
      </c>
      <c r="F14" s="2">
        <v>7</v>
      </c>
      <c r="G14" s="2">
        <v>0</v>
      </c>
      <c r="H14" s="2">
        <f>F14*E14+G14</f>
        <v>7</v>
      </c>
      <c r="I14" s="1" t="s">
        <v>50</v>
      </c>
    </row>
    <row r="15" spans="1:10" x14ac:dyDescent="0.2">
      <c r="A15" s="1">
        <v>13</v>
      </c>
      <c r="B15" s="1" t="s">
        <v>15</v>
      </c>
      <c r="C15" s="1" t="s">
        <v>34</v>
      </c>
      <c r="D15" s="1" t="s">
        <v>33</v>
      </c>
      <c r="E15" s="1">
        <v>2</v>
      </c>
      <c r="F15" s="2">
        <v>0.98</v>
      </c>
      <c r="G15" s="2">
        <v>0</v>
      </c>
      <c r="H15" s="2">
        <f t="shared" ref="H15" si="3">F15*E15+G15</f>
        <v>1.96</v>
      </c>
      <c r="I15" s="1" t="s">
        <v>49</v>
      </c>
    </row>
    <row r="16" spans="1:10" x14ac:dyDescent="0.2">
      <c r="A16" s="1">
        <v>14</v>
      </c>
      <c r="B16" s="1" t="s">
        <v>15</v>
      </c>
      <c r="C16" s="1" t="s">
        <v>29</v>
      </c>
      <c r="D16" s="1" t="s">
        <v>39</v>
      </c>
      <c r="E16" s="1">
        <v>1</v>
      </c>
      <c r="F16" s="2">
        <v>0.53</v>
      </c>
      <c r="G16" s="2">
        <v>2</v>
      </c>
      <c r="H16" s="8">
        <v>5.4</v>
      </c>
      <c r="I16" s="6" t="s">
        <v>42</v>
      </c>
      <c r="J16" s="7"/>
    </row>
    <row r="17" spans="1:10" x14ac:dyDescent="0.2">
      <c r="A17" s="1">
        <v>15</v>
      </c>
      <c r="B17" s="1" t="s">
        <v>15</v>
      </c>
      <c r="C17" s="1" t="s">
        <v>29</v>
      </c>
      <c r="D17" s="1" t="s">
        <v>40</v>
      </c>
      <c r="E17" s="1">
        <v>15</v>
      </c>
      <c r="F17" s="2">
        <v>0.17</v>
      </c>
      <c r="G17" s="2">
        <v>0</v>
      </c>
      <c r="H17" s="8"/>
      <c r="I17" s="6"/>
      <c r="J17" s="7"/>
    </row>
    <row r="18" spans="1:10" x14ac:dyDescent="0.2">
      <c r="A18" s="1">
        <v>16</v>
      </c>
      <c r="B18" s="1" t="s">
        <v>15</v>
      </c>
      <c r="C18" s="1" t="s">
        <v>29</v>
      </c>
      <c r="D18" s="1" t="s">
        <v>41</v>
      </c>
      <c r="E18" s="1">
        <v>1</v>
      </c>
      <c r="F18" s="2">
        <v>0.87</v>
      </c>
      <c r="G18" s="2">
        <v>0</v>
      </c>
      <c r="H18" s="8"/>
      <c r="I18" s="6"/>
      <c r="J18" s="7"/>
    </row>
    <row r="19" spans="1:10" x14ac:dyDescent="0.2">
      <c r="A19" s="1">
        <v>17</v>
      </c>
      <c r="B19" s="1" t="s">
        <v>15</v>
      </c>
      <c r="C19" s="1" t="s">
        <v>52</v>
      </c>
      <c r="D19" s="1" t="s">
        <v>53</v>
      </c>
      <c r="E19" s="1">
        <v>1</v>
      </c>
      <c r="F19" s="2">
        <v>2.48</v>
      </c>
      <c r="G19" s="2">
        <v>0</v>
      </c>
      <c r="H19" s="2">
        <f>F19*E19+G19</f>
        <v>2.48</v>
      </c>
      <c r="I19" s="1" t="s">
        <v>54</v>
      </c>
    </row>
    <row r="20" spans="1:10" ht="20.25" x14ac:dyDescent="0.2">
      <c r="G20" s="3" t="s">
        <v>51</v>
      </c>
      <c r="H20" s="4">
        <f>SUM(H3:H18)</f>
        <v>106.20999999999998</v>
      </c>
    </row>
  </sheetData>
  <mergeCells count="8">
    <mergeCell ref="A1:I1"/>
    <mergeCell ref="I6:I7"/>
    <mergeCell ref="I16:I18"/>
    <mergeCell ref="J16:J18"/>
    <mergeCell ref="H16:H18"/>
    <mergeCell ref="H3:H5"/>
    <mergeCell ref="G3:G5"/>
    <mergeCell ref="I3:I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2026-09-28T07:46:22Z</dcterms:created>
  <dcterms:modified xsi:type="dcterms:W3CDTF">2026-10-10T05:58:43Z</dcterms:modified>
</cp:coreProperties>
</file>